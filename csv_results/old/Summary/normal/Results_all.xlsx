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SC Chan\PECON\PECON_Feb24\PECON\PECON\code\le_ekf&amp;chen_ekf&amp;normal_ekfcode\csv_results\old\Summary\normal\"/>
    </mc:Choice>
  </mc:AlternateContent>
  <xr:revisionPtr revIDLastSave="0" documentId="13_ncr:1_{0335BFE5-55DA-4E95-B482-3E5C1E64100C}" xr6:coauthVersionLast="47" xr6:coauthVersionMax="47" xr10:uidLastSave="{00000000-0000-0000-0000-000000000000}"/>
  <bookViews>
    <workbookView xWindow="540" yWindow="3075" windowWidth="21600" windowHeight="11385" xr2:uid="{00000000-000D-0000-FFFF-FFFF00000000}"/>
  </bookViews>
  <sheets>
    <sheet name="Averages" sheetId="1" r:id="rId1"/>
    <sheet name="Standard Devi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K29" i="1"/>
  <c r="L29" i="1"/>
  <c r="J30" i="1"/>
  <c r="K30" i="1"/>
  <c r="L30" i="1"/>
  <c r="J31" i="1"/>
  <c r="K31" i="1"/>
  <c r="L31" i="1"/>
  <c r="J24" i="1"/>
  <c r="K24" i="1"/>
  <c r="L24" i="1"/>
  <c r="J25" i="1"/>
  <c r="K25" i="1"/>
  <c r="L25" i="1"/>
  <c r="K23" i="1"/>
  <c r="L23" i="1"/>
  <c r="J23" i="1"/>
  <c r="F30" i="1"/>
  <c r="G30" i="1"/>
  <c r="H30" i="1"/>
  <c r="F31" i="1"/>
  <c r="G31" i="1"/>
  <c r="H31" i="1"/>
  <c r="G29" i="1"/>
  <c r="H29" i="1"/>
  <c r="F29" i="1"/>
  <c r="F24" i="1"/>
  <c r="G24" i="1"/>
  <c r="H24" i="1"/>
  <c r="F25" i="1"/>
  <c r="G25" i="1"/>
  <c r="H25" i="1"/>
  <c r="G23" i="1"/>
  <c r="H23" i="1"/>
  <c r="F23" i="1"/>
  <c r="B30" i="1"/>
  <c r="C30" i="1"/>
  <c r="D30" i="1"/>
  <c r="E30" i="1"/>
  <c r="B31" i="1"/>
  <c r="C31" i="1"/>
  <c r="D31" i="1"/>
  <c r="E31" i="1"/>
  <c r="C29" i="1"/>
  <c r="D29" i="1"/>
  <c r="E29" i="1"/>
  <c r="B29" i="1"/>
  <c r="B24" i="1"/>
  <c r="C24" i="1"/>
  <c r="D24" i="1"/>
  <c r="E24" i="1"/>
  <c r="B25" i="1"/>
  <c r="C25" i="1"/>
  <c r="D25" i="1"/>
  <c r="E25" i="1"/>
  <c r="C23" i="1"/>
  <c r="D23" i="1"/>
  <c r="E23" i="1"/>
  <c r="B23" i="1"/>
  <c r="U12" i="2"/>
  <c r="V12" i="2"/>
  <c r="W12" i="2"/>
  <c r="T12" i="2"/>
  <c r="L12" i="2"/>
  <c r="M12" i="2"/>
  <c r="N12" i="2"/>
  <c r="K12" i="2"/>
  <c r="C12" i="2"/>
  <c r="D12" i="2"/>
  <c r="E12" i="2"/>
  <c r="B12" i="2"/>
  <c r="K12" i="1"/>
  <c r="U12" i="1"/>
  <c r="V12" i="1"/>
  <c r="W12" i="1"/>
  <c r="T12" i="1"/>
  <c r="L12" i="1"/>
  <c r="M12" i="1"/>
  <c r="N12" i="1"/>
  <c r="T9" i="2"/>
  <c r="U9" i="2"/>
  <c r="V9" i="2"/>
  <c r="W9" i="2"/>
  <c r="T10" i="2"/>
  <c r="U10" i="2"/>
  <c r="V10" i="2"/>
  <c r="W10" i="2"/>
  <c r="T11" i="2"/>
  <c r="U11" i="2"/>
  <c r="V11" i="2"/>
  <c r="W11" i="2"/>
  <c r="K9" i="2"/>
  <c r="L9" i="2"/>
  <c r="M9" i="2"/>
  <c r="N9" i="2"/>
  <c r="K10" i="2"/>
  <c r="L10" i="2"/>
  <c r="M10" i="2"/>
  <c r="N10" i="2"/>
  <c r="K11" i="2"/>
  <c r="L11" i="2"/>
  <c r="M11" i="2"/>
  <c r="N11" i="2"/>
  <c r="K8" i="2"/>
  <c r="L8" i="2"/>
  <c r="M8" i="2"/>
  <c r="N8" i="2"/>
  <c r="T8" i="2"/>
  <c r="U8" i="2"/>
  <c r="V8" i="2"/>
  <c r="W8" i="2"/>
  <c r="C8" i="2"/>
  <c r="D8" i="2"/>
  <c r="E8" i="2"/>
  <c r="C9" i="2"/>
  <c r="D9" i="2"/>
  <c r="E9" i="2"/>
  <c r="C10" i="2"/>
  <c r="D10" i="2"/>
  <c r="E10" i="2"/>
  <c r="C11" i="2"/>
  <c r="D11" i="2"/>
  <c r="E11" i="2"/>
  <c r="B9" i="2"/>
  <c r="B10" i="2"/>
  <c r="B11" i="2"/>
  <c r="B8" i="2"/>
  <c r="T9" i="1"/>
  <c r="U9" i="1"/>
  <c r="V9" i="1"/>
  <c r="W9" i="1"/>
  <c r="T10" i="1"/>
  <c r="U10" i="1"/>
  <c r="V10" i="1"/>
  <c r="W10" i="1"/>
  <c r="T11" i="1"/>
  <c r="U11" i="1"/>
  <c r="V11" i="1"/>
  <c r="W11" i="1"/>
  <c r="K9" i="1"/>
  <c r="L9" i="1"/>
  <c r="M9" i="1"/>
  <c r="N9" i="1"/>
  <c r="K10" i="1"/>
  <c r="L10" i="1"/>
  <c r="M10" i="1"/>
  <c r="N10" i="1"/>
  <c r="K11" i="1"/>
  <c r="L11" i="1"/>
  <c r="M11" i="1"/>
  <c r="N11" i="1"/>
  <c r="T8" i="1"/>
  <c r="N8" i="1"/>
  <c r="U8" i="1"/>
  <c r="V8" i="1"/>
  <c r="W8" i="1"/>
  <c r="K8" i="1"/>
  <c r="L8" i="1"/>
  <c r="M8" i="1"/>
</calcChain>
</file>

<file path=xl/sharedStrings.xml><?xml version="1.0" encoding="utf-8"?>
<sst xmlns="http://schemas.openxmlformats.org/spreadsheetml/2006/main" count="122" uniqueCount="47">
  <si>
    <t>Row</t>
  </si>
  <si>
    <t>Case1_Clean</t>
  </si>
  <si>
    <t>Case2_10dB</t>
  </si>
  <si>
    <t>Case2_20dB</t>
  </si>
  <si>
    <t>Case3_Outlier_Leak</t>
  </si>
  <si>
    <t>Case4_Pure_Leak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</si>
  <si>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</si>
  <si>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</si>
  <si>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</si>
  <si>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</si>
  <si>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</si>
  <si>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</si>
  <si>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</si>
  <si>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</si>
  <si>
    <t>Big</t>
  </si>
  <si>
    <t>Normal</t>
  </si>
  <si>
    <t>std</t>
  </si>
  <si>
    <t>mismatch</t>
  </si>
  <si>
    <t>Case 1</t>
  </si>
  <si>
    <t>Case 2</t>
  </si>
  <si>
    <t>Case 3</t>
  </si>
  <si>
    <t>Mismatch</t>
  </si>
  <si>
    <t>0.82±0.2</t>
  </si>
  <si>
    <t>0.84±0.22</t>
  </si>
  <si>
    <t>0.86±0.23</t>
  </si>
  <si>
    <t>1.11±0.25</t>
  </si>
  <si>
    <t>0.82±0.19</t>
  </si>
  <si>
    <t>0.83±0.19</t>
  </si>
  <si>
    <t>0.84±0.2</t>
  </si>
  <si>
    <t>23.35±1.78</t>
  </si>
  <si>
    <t>1.02±0.24</t>
  </si>
  <si>
    <t>1.03±0.26</t>
  </si>
  <si>
    <t>0.85±0.23</t>
  </si>
  <si>
    <t>30.69±1.68</t>
  </si>
  <si>
    <t>1.03±0.24</t>
  </si>
  <si>
    <t>1.02±0.25</t>
  </si>
  <si>
    <t>7.55±0.85</t>
  </si>
  <si>
    <t>2.51±0.21</t>
  </si>
  <si>
    <t>1.49±0.28</t>
  </si>
  <si>
    <t>1.43±0.31</t>
  </si>
  <si>
    <t>10.12±0.93</t>
  </si>
  <si>
    <t>1.48±0.27</t>
  </si>
  <si>
    <t>1.43±0.29</t>
  </si>
  <si>
    <t>p-value</t>
  </si>
  <si>
    <t>Ref</t>
  </si>
  <si>
    <t>z-stat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</si>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</sst>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0" fontId="1" fillId="0" borderId="0" xfId="0" applyFont="1"/>
    <xf numFmtId="0" fontId="3" fillId="0" borderId="0" xfId="0" applyFont="1"/>
    <xf numFmtId="164" fontId="0" fillId="0" borderId="0" xfId="0" applyNumberFormat="1" applyAlignment="1">
      <alignment horizontal="left" indent="1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topLeftCell="A8" zoomScale="90" zoomScaleNormal="90" workbookViewId="0">
      <selection activeCell="J23" sqref="J23"/>
    </sheetView>
  </sheetViews>
  <sheetFormatPr defaultRowHeight="15" x14ac:dyDescent="0.25"/>
  <cols>
    <col min="1" max="1" width="17.28515625" customWidth="1"/>
    <col min="2" max="2" width="13.7109375" customWidth="1"/>
    <col min="3" max="3" width="11.5703125" customWidth="1"/>
    <col min="4" max="4" width="12.28515625" customWidth="1"/>
    <col min="5" max="5" width="11.5703125" customWidth="1"/>
    <col min="6" max="6" width="13.7109375" customWidth="1"/>
    <col min="7" max="9" width="12.5703125" customWidth="1"/>
    <col min="12" max="12" width="13" customWidth="1"/>
  </cols>
  <sheetData>
    <row r="1" spans="1:2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</row>
    <row r="2" spans="1:27" x14ac:dyDescent="0.25">
      <c r="A2" t="s">
        <v>1</v>
      </c>
      <c r="B2">
        <v>1.2013095490338259</v>
      </c>
      <c r="C2">
        <v>1.2012879553532569</v>
      </c>
      <c r="D2">
        <v>1.2215038735857824</v>
      </c>
      <c r="E2">
        <v>1.218667620640401</v>
      </c>
      <c r="F2">
        <v>0.44638109589322661</v>
      </c>
      <c r="G2">
        <v>0.44629568462380531</v>
      </c>
      <c r="H2">
        <v>0.46655950430270532</v>
      </c>
      <c r="I2">
        <v>0.50091023246064315</v>
      </c>
      <c r="K2">
        <v>1.5630976428662</v>
      </c>
      <c r="L2">
        <v>1.3718467985622598</v>
      </c>
      <c r="M2">
        <v>1.2694399189955046</v>
      </c>
      <c r="N2">
        <v>1.388574190521918</v>
      </c>
      <c r="O2">
        <v>0.78256269212271468</v>
      </c>
      <c r="P2">
        <v>0.74144190225015794</v>
      </c>
      <c r="Q2">
        <v>0.58772315928511842</v>
      </c>
      <c r="R2">
        <v>0.74800304396786832</v>
      </c>
      <c r="T2">
        <v>1.5280284987173738</v>
      </c>
      <c r="U2">
        <v>1.1878335261708985</v>
      </c>
      <c r="V2">
        <v>1.2026597286107277</v>
      </c>
      <c r="W2">
        <v>1.2021101248057484</v>
      </c>
      <c r="X2">
        <v>0.68549664093746354</v>
      </c>
      <c r="Y2">
        <v>0.44791940777823736</v>
      </c>
      <c r="Z2">
        <v>0.45401786362514918</v>
      </c>
      <c r="AA2">
        <v>0.47102719513940788</v>
      </c>
    </row>
    <row r="3" spans="1:27" x14ac:dyDescent="0.25">
      <c r="A3" t="s">
        <v>2</v>
      </c>
      <c r="B3">
        <v>11.608078622718478</v>
      </c>
      <c r="C3">
        <v>1.2287299552155297</v>
      </c>
      <c r="D3">
        <v>1.2438201373570428</v>
      </c>
      <c r="E3">
        <v>1.2122099414367198</v>
      </c>
      <c r="F3">
        <v>3.2101152882469735</v>
      </c>
      <c r="G3">
        <v>0.45204992266559324</v>
      </c>
      <c r="H3">
        <v>0.46803489584544317</v>
      </c>
      <c r="I3">
        <v>0.48055675848626406</v>
      </c>
      <c r="K3">
        <v>16.525909558530465</v>
      </c>
      <c r="L3">
        <v>2.5259325897593361</v>
      </c>
      <c r="M3">
        <v>1.331139575543931</v>
      </c>
      <c r="N3">
        <v>1.3847754314370291</v>
      </c>
      <c r="O3">
        <v>1.9314858681155818</v>
      </c>
      <c r="P3">
        <v>0.75385464170517347</v>
      </c>
      <c r="Q3">
        <v>0.59321121551501799</v>
      </c>
      <c r="R3">
        <v>0.7508551633090379</v>
      </c>
      <c r="T3">
        <v>16.037010273351381</v>
      </c>
      <c r="U3">
        <v>1.2270121805555447</v>
      </c>
      <c r="V3">
        <v>1.2298872056228189</v>
      </c>
      <c r="W3">
        <v>1.1965587767578796</v>
      </c>
      <c r="X3">
        <v>3.6707560133062156</v>
      </c>
      <c r="Y3">
        <v>0.45752330002103414</v>
      </c>
      <c r="Z3">
        <v>0.47220589302693861</v>
      </c>
      <c r="AA3">
        <v>0.48222383916753059</v>
      </c>
    </row>
    <row r="4" spans="1:27" x14ac:dyDescent="0.25">
      <c r="A4" t="s">
        <v>3</v>
      </c>
      <c r="B4">
        <v>37.957491021418711</v>
      </c>
      <c r="C4">
        <v>1.5727911303967304</v>
      </c>
      <c r="D4">
        <v>1.4979471662915131</v>
      </c>
      <c r="E4">
        <v>1.211966781873197</v>
      </c>
      <c r="F4">
        <v>8.7490044615370639</v>
      </c>
      <c r="G4">
        <v>0.45830443422488698</v>
      </c>
      <c r="H4">
        <v>0.55363232125474371</v>
      </c>
      <c r="I4">
        <v>0.48305244528902913</v>
      </c>
      <c r="K4">
        <v>52.120643830968156</v>
      </c>
      <c r="L4">
        <v>8.9480885527286329</v>
      </c>
      <c r="M4">
        <v>1.7244114836438325</v>
      </c>
      <c r="N4">
        <v>1.3824672779396088</v>
      </c>
      <c r="O4">
        <v>3.865891419651529</v>
      </c>
      <c r="P4">
        <v>0.75836743042140842</v>
      </c>
      <c r="Q4">
        <v>0.59632708417505365</v>
      </c>
      <c r="R4">
        <v>0.74994447309906842</v>
      </c>
      <c r="T4">
        <v>52.490617840934668</v>
      </c>
      <c r="U4">
        <v>1.5943889783697438</v>
      </c>
      <c r="V4">
        <v>1.4803230930173217</v>
      </c>
      <c r="W4">
        <v>1.1963799297662936</v>
      </c>
      <c r="X4">
        <v>8.8853548150821471</v>
      </c>
      <c r="Y4">
        <v>0.46437430725762574</v>
      </c>
      <c r="Z4">
        <v>0.55136655611252661</v>
      </c>
      <c r="AA4">
        <v>0.49735721758616952</v>
      </c>
    </row>
    <row r="5" spans="1:27" x14ac:dyDescent="0.25">
      <c r="A5" t="s">
        <v>4</v>
      </c>
      <c r="B5">
        <v>11.183299822375414</v>
      </c>
      <c r="C5">
        <v>1.2537153011798463</v>
      </c>
      <c r="D5">
        <v>1.2510331417932179</v>
      </c>
      <c r="E5">
        <v>1.2063384095766898</v>
      </c>
      <c r="F5">
        <v>3.9139066172338977</v>
      </c>
      <c r="G5">
        <v>3.7658995159255544</v>
      </c>
      <c r="H5">
        <v>1.7207528704980029</v>
      </c>
      <c r="I5">
        <v>1.6478177224319392</v>
      </c>
      <c r="K5">
        <v>16.601382144214607</v>
      </c>
      <c r="L5">
        <v>2.560767098449614</v>
      </c>
      <c r="M5">
        <v>1.3171504136944627</v>
      </c>
      <c r="N5">
        <v>1.2997807043649863</v>
      </c>
      <c r="O5">
        <v>2.0183918894718982</v>
      </c>
      <c r="P5">
        <v>3.7171433656738047</v>
      </c>
      <c r="Q5">
        <v>1.1528574895465642</v>
      </c>
      <c r="R5">
        <v>1.016151132563951</v>
      </c>
      <c r="T5">
        <v>16.241968342444164</v>
      </c>
      <c r="U5">
        <v>1.2567442765819348</v>
      </c>
      <c r="V5">
        <v>1.2345582777622262</v>
      </c>
      <c r="W5">
        <v>1.1902235685555389</v>
      </c>
      <c r="X5">
        <v>3.9940026957928452</v>
      </c>
      <c r="Y5">
        <v>3.7680593930677651</v>
      </c>
      <c r="Z5">
        <v>1.7217960375179027</v>
      </c>
      <c r="AA5">
        <v>1.6711279919115745</v>
      </c>
    </row>
    <row r="6" spans="1:27" x14ac:dyDescent="0.25">
      <c r="A6" t="s">
        <v>5</v>
      </c>
      <c r="B6">
        <v>1.178239193606569</v>
      </c>
      <c r="C6">
        <v>1.1601366002840763</v>
      </c>
      <c r="D6">
        <v>1.1903129455970469</v>
      </c>
      <c r="E6">
        <v>1.1811189000818296</v>
      </c>
      <c r="F6">
        <v>1.702914192798568</v>
      </c>
      <c r="G6">
        <v>3.513431827801925</v>
      </c>
      <c r="H6">
        <v>1.7295050406815304</v>
      </c>
      <c r="I6">
        <v>1.5255332795567844</v>
      </c>
      <c r="K6">
        <v>1.5605836332697174</v>
      </c>
      <c r="L6">
        <v>1.366158916452501</v>
      </c>
      <c r="M6">
        <v>1.2781937420982328</v>
      </c>
      <c r="N6">
        <v>1.337415347736719</v>
      </c>
      <c r="O6">
        <v>0.83387398122928957</v>
      </c>
      <c r="P6">
        <v>3.5610347294285187</v>
      </c>
      <c r="Q6">
        <v>1.2565940012659</v>
      </c>
      <c r="R6">
        <v>1.0640281202029407</v>
      </c>
      <c r="T6">
        <v>1.5405421655732141</v>
      </c>
      <c r="U6">
        <v>1.1924911772734255</v>
      </c>
      <c r="V6">
        <v>1.2283665002059041</v>
      </c>
      <c r="W6">
        <v>1.2165082436428252</v>
      </c>
      <c r="X6">
        <v>0.9031289988758624</v>
      </c>
      <c r="Y6">
        <v>3.5146069227509118</v>
      </c>
      <c r="Z6">
        <v>1.8494296977752023</v>
      </c>
      <c r="AA6">
        <v>1.7565816410874318</v>
      </c>
    </row>
    <row r="7" spans="1:27" x14ac:dyDescent="0.25">
      <c r="B7" t="s">
        <v>15</v>
      </c>
      <c r="F7" t="s">
        <v>16</v>
      </c>
    </row>
    <row r="8" spans="1:27" x14ac:dyDescent="0.25">
      <c r="A8" t="s">
        <v>1</v>
      </c>
      <c r="B8" s="2">
        <v>0.82384532246352626</v>
      </c>
      <c r="C8" s="2">
        <v>0.82379181998853113</v>
      </c>
      <c r="D8" s="2">
        <v>0.84403168894424385</v>
      </c>
      <c r="E8" s="2">
        <v>0.85978892655052208</v>
      </c>
      <c r="F8" s="2">
        <v>0.20127680891380553</v>
      </c>
      <c r="G8" s="2">
        <v>0.20128668059231666</v>
      </c>
      <c r="H8" s="2">
        <v>0.21522990128903619</v>
      </c>
      <c r="I8" s="2">
        <v>0.2274625460529317</v>
      </c>
      <c r="K8">
        <f>0.5*(K2+O2)</f>
        <v>1.1728301674944572</v>
      </c>
      <c r="L8">
        <f t="shared" ref="L8" si="0">0.5*(L2+P2)</f>
        <v>1.0566443504062089</v>
      </c>
      <c r="M8">
        <f t="shared" ref="M8" si="1">0.5*(M2+Q2)</f>
        <v>0.9285815391403115</v>
      </c>
      <c r="N8">
        <f>0.5*(N2+R2)</f>
        <v>1.0682886172448931</v>
      </c>
      <c r="T8">
        <f>0.5*(T2+X2)</f>
        <v>1.1067625698274186</v>
      </c>
      <c r="U8">
        <f t="shared" ref="U8" si="2">0.5*(U2+Y2)</f>
        <v>0.81787646697456795</v>
      </c>
      <c r="V8">
        <f t="shared" ref="V8" si="3">0.5*(V2+Z2)</f>
        <v>0.82833879611793848</v>
      </c>
      <c r="W8">
        <f t="shared" ref="W8" si="4">0.5*(W2+AA2)</f>
        <v>0.83656865997257812</v>
      </c>
    </row>
    <row r="9" spans="1:27" x14ac:dyDescent="0.25">
      <c r="A9" t="s">
        <v>3</v>
      </c>
      <c r="B9" s="2">
        <v>23.353247741477887</v>
      </c>
      <c r="C9" s="2">
        <v>1.0155477823108088</v>
      </c>
      <c r="D9" s="2">
        <v>1.0257897437731285</v>
      </c>
      <c r="E9" s="2">
        <v>0.8475096135811131</v>
      </c>
      <c r="F9" s="2">
        <v>1.778910676277945</v>
      </c>
      <c r="G9" s="2">
        <v>0.24492924149523485</v>
      </c>
      <c r="H9" s="2">
        <v>0.26307969220831229</v>
      </c>
      <c r="I9" s="2">
        <v>0.22764849469227341</v>
      </c>
      <c r="K9">
        <f t="shared" ref="K9:K11" si="5">0.5*(K3+O3)</f>
        <v>9.2286977133230241</v>
      </c>
      <c r="L9">
        <f t="shared" ref="L9:L12" si="6">0.5*(L3+P3)</f>
        <v>1.6398936157322548</v>
      </c>
      <c r="M9">
        <f t="shared" ref="M9:N12" si="7">0.5*(M3+Q3)</f>
        <v>0.96217539552947451</v>
      </c>
      <c r="N9">
        <f t="shared" si="7"/>
        <v>1.0678152973730335</v>
      </c>
      <c r="T9">
        <f t="shared" ref="T9:T12" si="8">0.5*(T3+X3)</f>
        <v>9.8538831433287974</v>
      </c>
      <c r="U9">
        <f t="shared" ref="U9:U12" si="9">0.5*(U3+Y3)</f>
        <v>0.84226774028828943</v>
      </c>
      <c r="V9">
        <f t="shared" ref="V9:V12" si="10">0.5*(V3+Z3)</f>
        <v>0.85104654932487878</v>
      </c>
      <c r="W9">
        <f t="shared" ref="W9:W12" si="11">0.5*(W3+AA3)</f>
        <v>0.83939130796270511</v>
      </c>
    </row>
    <row r="10" spans="1:27" x14ac:dyDescent="0.25">
      <c r="A10" t="s">
        <v>4</v>
      </c>
      <c r="B10" s="2">
        <v>7.5486032198046562</v>
      </c>
      <c r="C10" s="2">
        <v>2.5098074085527005</v>
      </c>
      <c r="D10" s="2">
        <v>1.4858930061456104</v>
      </c>
      <c r="E10" s="2">
        <v>1.4270780660043145</v>
      </c>
      <c r="F10" s="2">
        <v>0.85058606914535961</v>
      </c>
      <c r="G10" s="2">
        <v>0.20639264365167817</v>
      </c>
      <c r="H10" s="2">
        <v>0.27631340616525646</v>
      </c>
      <c r="I10" s="2">
        <v>0.30561885428970659</v>
      </c>
      <c r="K10">
        <f t="shared" si="5"/>
        <v>27.993267625309841</v>
      </c>
      <c r="L10">
        <f t="shared" si="6"/>
        <v>4.8532279915750207</v>
      </c>
      <c r="M10">
        <f t="shared" si="7"/>
        <v>1.1603692839094431</v>
      </c>
      <c r="N10">
        <f t="shared" ref="N10:N12" si="12">0.5*(N4+R4)</f>
        <v>1.0662058755193387</v>
      </c>
      <c r="T10">
        <f t="shared" si="8"/>
        <v>30.687986328008407</v>
      </c>
      <c r="U10">
        <f t="shared" si="9"/>
        <v>1.0293816428136848</v>
      </c>
      <c r="V10">
        <f t="shared" si="10"/>
        <v>1.0158448245649241</v>
      </c>
      <c r="W10">
        <f t="shared" si="11"/>
        <v>0.84686857367623158</v>
      </c>
    </row>
    <row r="11" spans="1:27" x14ac:dyDescent="0.25">
      <c r="A11" t="s">
        <v>5</v>
      </c>
      <c r="B11" s="2">
        <v>1.4405766932025685</v>
      </c>
      <c r="C11" s="2">
        <v>2.3367842140430009</v>
      </c>
      <c r="D11" s="2">
        <v>1.4599089931392886</v>
      </c>
      <c r="E11" s="2">
        <v>1.3533260898193071</v>
      </c>
      <c r="F11" s="2">
        <v>0.20626465164871682</v>
      </c>
      <c r="G11" s="2">
        <v>0.19795133682159485</v>
      </c>
      <c r="H11" s="2">
        <v>0.27312056348250036</v>
      </c>
      <c r="I11" s="2">
        <v>0.29726765372111463</v>
      </c>
      <c r="K11">
        <f t="shared" si="5"/>
        <v>9.3098870168432519</v>
      </c>
      <c r="L11">
        <f t="shared" si="6"/>
        <v>3.1389552320617096</v>
      </c>
      <c r="M11">
        <f t="shared" si="7"/>
        <v>1.2350039516205134</v>
      </c>
      <c r="N11">
        <f t="shared" si="12"/>
        <v>1.1579659184644686</v>
      </c>
      <c r="T11">
        <f t="shared" si="8"/>
        <v>10.117985519118504</v>
      </c>
      <c r="U11">
        <f t="shared" si="9"/>
        <v>2.5124018348248498</v>
      </c>
      <c r="V11">
        <f t="shared" si="10"/>
        <v>1.4781771576400644</v>
      </c>
      <c r="W11">
        <f t="shared" si="11"/>
        <v>1.4306757802335568</v>
      </c>
    </row>
    <row r="12" spans="1:27" x14ac:dyDescent="0.25">
      <c r="K12">
        <f>0.5*(K6+O6)</f>
        <v>1.1972288072495034</v>
      </c>
      <c r="L12">
        <f t="shared" si="6"/>
        <v>2.4635968229405099</v>
      </c>
      <c r="M12">
        <f t="shared" si="7"/>
        <v>1.2673938716820663</v>
      </c>
      <c r="N12">
        <f t="shared" si="12"/>
        <v>1.20072173396983</v>
      </c>
      <c r="T12">
        <f t="shared" si="8"/>
        <v>1.2218355822245384</v>
      </c>
      <c r="U12">
        <f t="shared" si="9"/>
        <v>2.3535490500121687</v>
      </c>
      <c r="V12">
        <f t="shared" si="10"/>
        <v>1.5388980989905532</v>
      </c>
      <c r="W12">
        <f t="shared" si="11"/>
        <v>1.4865449423651285</v>
      </c>
    </row>
    <row r="15" spans="1:27" x14ac:dyDescent="0.25">
      <c r="B15" s="2" t="s">
        <v>14</v>
      </c>
      <c r="C15" s="2"/>
      <c r="D15" s="2"/>
      <c r="E15" s="2"/>
      <c r="F15" s="2" t="s">
        <v>16</v>
      </c>
      <c r="G15" s="2"/>
      <c r="H15" s="2"/>
      <c r="I15" s="2"/>
    </row>
    <row r="16" spans="1:27" x14ac:dyDescent="0.25">
      <c r="A16" t="s">
        <v>1</v>
      </c>
      <c r="B16" s="2">
        <v>1.1067625698274186</v>
      </c>
      <c r="C16" s="2">
        <v>0.81787646697456795</v>
      </c>
      <c r="D16" s="2">
        <v>0.82833879611793848</v>
      </c>
      <c r="E16" s="2">
        <v>0.83656865997257812</v>
      </c>
      <c r="F16" s="2">
        <v>0.24641732507994862</v>
      </c>
      <c r="G16" s="2">
        <v>0.18862192188667179</v>
      </c>
      <c r="H16" s="2">
        <v>0.19437233039127089</v>
      </c>
      <c r="I16" s="2">
        <v>0.19787819082809432</v>
      </c>
    </row>
    <row r="17" spans="1:12" x14ac:dyDescent="0.25">
      <c r="A17" t="s">
        <v>3</v>
      </c>
      <c r="B17" s="2">
        <v>30.687986328008407</v>
      </c>
      <c r="C17" s="2">
        <v>1.0293816428136848</v>
      </c>
      <c r="D17" s="2">
        <v>1.0158448245649241</v>
      </c>
      <c r="E17" s="2">
        <v>0.84686857367623158</v>
      </c>
      <c r="F17" s="2">
        <v>1.682507023345968</v>
      </c>
      <c r="G17" s="2">
        <v>0.23883192565625005</v>
      </c>
      <c r="H17" s="2">
        <v>0.24614755577972655</v>
      </c>
      <c r="I17" s="2">
        <v>0.22792987785641119</v>
      </c>
    </row>
    <row r="18" spans="1:12" x14ac:dyDescent="0.25">
      <c r="A18" t="s">
        <v>4</v>
      </c>
      <c r="B18" s="2">
        <v>10.117985519118504</v>
      </c>
      <c r="C18" s="2">
        <v>2.5124018348248498</v>
      </c>
      <c r="D18" s="2">
        <v>1.4781771576400644</v>
      </c>
      <c r="E18" s="2">
        <v>1.4306757802335568</v>
      </c>
      <c r="F18" s="2">
        <v>0.93388078773908301</v>
      </c>
      <c r="G18" s="2">
        <v>0.20609664895538027</v>
      </c>
      <c r="H18" s="2">
        <v>0.26545674081185622</v>
      </c>
      <c r="I18" s="2">
        <v>0.2866144682953794</v>
      </c>
    </row>
    <row r="19" spans="1:12" x14ac:dyDescent="0.25">
      <c r="A19" t="s">
        <v>5</v>
      </c>
      <c r="B19" s="2">
        <v>1.2218355822245384</v>
      </c>
      <c r="C19" s="2">
        <v>2.3535490500121687</v>
      </c>
      <c r="D19" s="2">
        <v>1.5388980989905532</v>
      </c>
      <c r="E19" s="2">
        <v>1.4865449423651285</v>
      </c>
      <c r="F19" s="2">
        <v>0.27098233917616871</v>
      </c>
      <c r="G19" s="2">
        <v>0.19960243713816792</v>
      </c>
      <c r="H19" s="2">
        <v>0.26448194858304835</v>
      </c>
      <c r="I19" s="2">
        <v>0.29725630953496035</v>
      </c>
    </row>
    <row r="22" spans="1:12" x14ac:dyDescent="0.25">
      <c r="B22" t="s">
        <v>15</v>
      </c>
      <c r="F22" s="6" t="s">
        <v>45</v>
      </c>
      <c r="J22" s="6" t="s">
        <v>43</v>
      </c>
    </row>
    <row r="23" spans="1:12" x14ac:dyDescent="0.25">
      <c r="A23" t="s">
        <v>1</v>
      </c>
      <c r="B23" s="1" t="str">
        <f>_xlfn.CONCAT(ROUND(B8,2),"±",ROUND(F8,2))</f>
        <v>0.82±0.2</v>
      </c>
      <c r="C23" s="1" t="str">
        <f t="shared" ref="C23:E23" si="13">_xlfn.CONCAT(ROUND(C8,2),"±",ROUND(G8,2))</f>
        <v>0.82±0.2</v>
      </c>
      <c r="D23" s="1" t="str">
        <f t="shared" si="13"/>
        <v>0.84±0.22</v>
      </c>
      <c r="E23" s="1" t="str">
        <f t="shared" si="13"/>
        <v>0.86±0.23</v>
      </c>
      <c r="F23" s="2">
        <f xml:space="preserve"> ($E8 - B8) / SQRT(($I8^2 / 100) + (F8^2 / 100))</f>
        <v>1.183408689387053</v>
      </c>
      <c r="G23" s="2">
        <f t="shared" ref="G23:H23" si="14" xml:space="preserve"> ($E8 - C8) / SQRT(($I8^2 / 100) + (G8^2 / 100))</f>
        <v>1.1851446807312869</v>
      </c>
      <c r="H23" s="2">
        <f t="shared" si="14"/>
        <v>0.50318447125367971</v>
      </c>
      <c r="I23" s="6"/>
      <c r="J23" s="4">
        <f xml:space="preserve"> 2 * (1 - _xlfn.NORM.S.DIST(ABS(F23), TRUE))</f>
        <v>0.23664721520211041</v>
      </c>
      <c r="K23" s="4">
        <f t="shared" ref="K23:L23" si="15" xml:space="preserve"> 2 * (1 - _xlfn.NORM.S.DIST(ABS(G23), TRUE))</f>
        <v>0.23596024770918111</v>
      </c>
      <c r="L23" s="4">
        <f t="shared" si="15"/>
        <v>0.61483458158725668</v>
      </c>
    </row>
    <row r="24" spans="1:12" x14ac:dyDescent="0.25">
      <c r="A24" t="s">
        <v>3</v>
      </c>
      <c r="B24" s="1" t="str">
        <f t="shared" ref="B24:B25" si="16">_xlfn.CONCAT(ROUND(B9,2),"±",ROUND(F9,2))</f>
        <v>23.35±1.78</v>
      </c>
      <c r="C24" s="1" t="str">
        <f t="shared" ref="C24:C25" si="17">_xlfn.CONCAT(ROUND(C9,2),"±",ROUND(G9,2))</f>
        <v>1.02±0.24</v>
      </c>
      <c r="D24" s="1" t="str">
        <f t="shared" ref="D24:D25" si="18">_xlfn.CONCAT(ROUND(D9,2),"±",ROUND(H9,2))</f>
        <v>1.03±0.26</v>
      </c>
      <c r="E24" s="1" t="str">
        <f t="shared" ref="E24:E25" si="19">_xlfn.CONCAT(ROUND(E9,2),"±",ROUND(I9,2))</f>
        <v>0.85±0.23</v>
      </c>
      <c r="F24" s="2">
        <f t="shared" ref="F24:F25" si="20" xml:space="preserve"> ($E9 - B9) / SQRT(($I9^2 / 100) + (F9^2 / 100))</f>
        <v>-125.49077764562563</v>
      </c>
      <c r="G24" s="2">
        <f t="shared" ref="G24:G25" si="21" xml:space="preserve"> ($E9 - C9) / SQRT(($I9^2 / 100) + (G9^2 / 100))</f>
        <v>-5.0252713443291253</v>
      </c>
      <c r="H24" s="2">
        <f t="shared" ref="H24:H25" si="22" xml:space="preserve"> ($E9 - D9) / SQRT(($I9^2 / 100) + (H9^2 / 100))</f>
        <v>-5.1244573513401628</v>
      </c>
      <c r="I24" s="6"/>
      <c r="J24">
        <f t="shared" ref="J24:J25" si="23" xml:space="preserve"> 2 * (1 - _xlfn.NORM.S.DIST(ABS(F24), TRUE))</f>
        <v>0</v>
      </c>
      <c r="K24">
        <f t="shared" ref="K24:K25" si="24" xml:space="preserve"> 2 * (1 - _xlfn.NORM.S.DIST(ABS(G24), TRUE))</f>
        <v>5.027212226504929E-7</v>
      </c>
      <c r="L24" s="10">
        <f t="shared" ref="L24:L25" si="25" xml:space="preserve"> 2 * (1 - _xlfn.NORM.S.DIST(ABS(H24), TRUE))</f>
        <v>2.9839587978308657E-7</v>
      </c>
    </row>
    <row r="25" spans="1:12" x14ac:dyDescent="0.25">
      <c r="A25" t="s">
        <v>4</v>
      </c>
      <c r="B25" s="1" t="str">
        <f t="shared" si="16"/>
        <v>7.55±0.85</v>
      </c>
      <c r="C25" s="1" t="str">
        <f t="shared" si="17"/>
        <v>2.51±0.21</v>
      </c>
      <c r="D25" s="1" t="str">
        <f t="shared" si="18"/>
        <v>1.49±0.28</v>
      </c>
      <c r="E25" s="1" t="str">
        <f t="shared" si="19"/>
        <v>1.43±0.31</v>
      </c>
      <c r="F25" s="2">
        <f t="shared" si="20"/>
        <v>-67.729101033553746</v>
      </c>
      <c r="G25" s="2">
        <f t="shared" si="21"/>
        <v>-29.359534340902858</v>
      </c>
      <c r="H25" s="2">
        <f t="shared" si="22"/>
        <v>-1.4275135254773905</v>
      </c>
      <c r="J25">
        <f t="shared" si="23"/>
        <v>0</v>
      </c>
      <c r="K25">
        <f t="shared" si="24"/>
        <v>0</v>
      </c>
      <c r="L25" s="3">
        <f t="shared" si="25"/>
        <v>0.15343192939036054</v>
      </c>
    </row>
    <row r="26" spans="1:12" x14ac:dyDescent="0.25">
      <c r="B26" s="1"/>
      <c r="C26" s="1"/>
      <c r="D26" s="1"/>
      <c r="E26" s="1"/>
      <c r="F26" s="2"/>
      <c r="G26" s="2"/>
      <c r="H26" s="2"/>
      <c r="I26" s="6"/>
    </row>
    <row r="27" spans="1:12" x14ac:dyDescent="0.25">
      <c r="I27" s="6"/>
    </row>
    <row r="28" spans="1:12" x14ac:dyDescent="0.25">
      <c r="B28" s="5" t="s">
        <v>17</v>
      </c>
      <c r="C28" s="2"/>
      <c r="D28" s="2"/>
      <c r="E28" s="2"/>
    </row>
    <row r="29" spans="1:12" x14ac:dyDescent="0.25">
      <c r="A29" t="s">
        <v>1</v>
      </c>
      <c r="B29" s="2" t="str">
        <f>_xlfn.CONCAT(ROUND(B16,2),"±",ROUND(F16,2))</f>
        <v>1.11±0.25</v>
      </c>
      <c r="C29" s="2" t="str">
        <f t="shared" ref="C29:E29" si="26">_xlfn.CONCAT(ROUND(C16,2),"±",ROUND(G16,2))</f>
        <v>0.82±0.19</v>
      </c>
      <c r="D29" s="2" t="str">
        <f t="shared" si="26"/>
        <v>0.83±0.19</v>
      </c>
      <c r="E29" s="2" t="str">
        <f t="shared" si="26"/>
        <v>0.84±0.2</v>
      </c>
      <c r="F29" s="2">
        <f xml:space="preserve"> ($E16 - B16) / SQRT(($I16^2 / 100) + (F16^2 / 100))</f>
        <v>-8.5495294016710499</v>
      </c>
      <c r="G29" s="2">
        <f t="shared" ref="G29:H29" si="27" xml:space="preserve"> ($E16 - C16) / SQRT(($I16^2 / 100) + (G16^2 / 100))</f>
        <v>0.68375595213944851</v>
      </c>
      <c r="H29" s="2">
        <f t="shared" si="27"/>
        <v>0.29670630372854245</v>
      </c>
      <c r="I29" s="6"/>
      <c r="J29">
        <f t="shared" ref="J29:J31" si="28" xml:space="preserve"> 2 * (1 - _xlfn.NORM.S.DIST(ABS(F29), TRUE))</f>
        <v>0</v>
      </c>
      <c r="K29" s="3">
        <f t="shared" ref="K29:K31" si="29" xml:space="preserve"> 2 * (1 - _xlfn.NORM.S.DIST(ABS(G29), TRUE))</f>
        <v>0.49412928532382239</v>
      </c>
      <c r="L29" s="3">
        <f t="shared" ref="L29:L31" si="30" xml:space="preserve"> 2 * (1 - _xlfn.NORM.S.DIST(ABS(H29), TRUE))</f>
        <v>0.76669074397496395</v>
      </c>
    </row>
    <row r="30" spans="1:12" x14ac:dyDescent="0.25">
      <c r="A30" t="s">
        <v>3</v>
      </c>
      <c r="B30" s="2" t="str">
        <f t="shared" ref="B30:B31" si="31">_xlfn.CONCAT(ROUND(B17,2),"±",ROUND(F17,2))</f>
        <v>30.69±1.68</v>
      </c>
      <c r="C30" s="2" t="str">
        <f t="shared" ref="C30:C31" si="32">_xlfn.CONCAT(ROUND(C17,2),"±",ROUND(G17,2))</f>
        <v>1.03±0.24</v>
      </c>
      <c r="D30" s="2" t="str">
        <f t="shared" ref="D30:D31" si="33">_xlfn.CONCAT(ROUND(D17,2),"±",ROUND(H17,2))</f>
        <v>1.02±0.25</v>
      </c>
      <c r="E30" s="2" t="str">
        <f t="shared" ref="E30:E31" si="34">_xlfn.CONCAT(ROUND(E17,2),"±",ROUND(I17,2))</f>
        <v>0.85±0.23</v>
      </c>
      <c r="F30" s="2">
        <f t="shared" ref="F30:F31" si="35" xml:space="preserve"> ($E17 - B17) / SQRT(($I17^2 / 100) + (F17^2 / 100))</f>
        <v>-175.75560831630759</v>
      </c>
      <c r="G30" s="2">
        <f t="shared" ref="G30:G31" si="36" xml:space="preserve"> ($E17 - C17) / SQRT(($I17^2 / 100) + (G17^2 / 100))</f>
        <v>-5.5283461365492323</v>
      </c>
      <c r="H30" s="2">
        <f t="shared" ref="H30:H31" si="37" xml:space="preserve"> ($E17 - D17) / SQRT(($I17^2 / 100) + (H17^2 / 100))</f>
        <v>-5.0369885488680719</v>
      </c>
      <c r="I30" s="6"/>
      <c r="J30">
        <f t="shared" si="28"/>
        <v>0</v>
      </c>
      <c r="K30">
        <f t="shared" si="29"/>
        <v>3.2326376464553164E-8</v>
      </c>
      <c r="L30" s="9">
        <f t="shared" si="30"/>
        <v>4.7291306071173267E-7</v>
      </c>
    </row>
    <row r="31" spans="1:12" x14ac:dyDescent="0.25">
      <c r="A31" t="s">
        <v>4</v>
      </c>
      <c r="B31" s="2" t="str">
        <f t="shared" si="31"/>
        <v>10.12±0.93</v>
      </c>
      <c r="C31" s="2" t="str">
        <f t="shared" si="32"/>
        <v>2.51±0.21</v>
      </c>
      <c r="D31" s="2" t="str">
        <f t="shared" si="33"/>
        <v>1.48±0.27</v>
      </c>
      <c r="E31" s="2" t="str">
        <f t="shared" si="34"/>
        <v>1.43±0.29</v>
      </c>
      <c r="F31" s="2">
        <f t="shared" si="35"/>
        <v>-88.929761368172336</v>
      </c>
      <c r="G31" s="2">
        <f t="shared" si="36"/>
        <v>-30.641992426038271</v>
      </c>
      <c r="H31" s="2">
        <f t="shared" si="37"/>
        <v>-1.2159267166424874</v>
      </c>
      <c r="J31">
        <f t="shared" si="28"/>
        <v>0</v>
      </c>
      <c r="K31">
        <f t="shared" si="29"/>
        <v>0</v>
      </c>
      <c r="L31" s="8">
        <f t="shared" si="30"/>
        <v>0.22401283965006824</v>
      </c>
    </row>
    <row r="32" spans="1:12" x14ac:dyDescent="0.25">
      <c r="B32" s="2"/>
      <c r="C32" s="2"/>
      <c r="D32" s="2"/>
      <c r="E32" s="2"/>
      <c r="F32" s="2"/>
      <c r="G32" s="2"/>
      <c r="H32" s="2"/>
    </row>
    <row r="34" spans="1:9" x14ac:dyDescent="0.25">
      <c r="B34" s="6" t="s">
        <v>18</v>
      </c>
      <c r="F34" s="6" t="s">
        <v>43</v>
      </c>
    </row>
    <row r="35" spans="1:9" x14ac:dyDescent="0.25">
      <c r="A35" s="6" t="s">
        <v>46</v>
      </c>
      <c r="B35" t="s">
        <v>22</v>
      </c>
      <c r="C35" t="s">
        <v>22</v>
      </c>
      <c r="D35" t="s">
        <v>23</v>
      </c>
      <c r="E35" t="s">
        <v>24</v>
      </c>
      <c r="I35" s="6" t="s">
        <v>44</v>
      </c>
    </row>
    <row r="36" spans="1:9" x14ac:dyDescent="0.25">
      <c r="A36" s="6" t="s">
        <v>21</v>
      </c>
      <c r="B36" t="s">
        <v>25</v>
      </c>
      <c r="C36" t="s">
        <v>26</v>
      </c>
      <c r="D36" t="s">
        <v>27</v>
      </c>
      <c r="E36" t="s">
        <v>28</v>
      </c>
      <c r="I36" s="6" t="s">
        <v>44</v>
      </c>
    </row>
    <row r="37" spans="1:9" x14ac:dyDescent="0.25">
      <c r="B37" s="6" t="s">
        <v>19</v>
      </c>
    </row>
    <row r="38" spans="1:9" x14ac:dyDescent="0.25">
      <c r="A38" s="6" t="s">
        <v>46</v>
      </c>
      <c r="B38" t="s">
        <v>29</v>
      </c>
      <c r="C38" t="s">
        <v>30</v>
      </c>
      <c r="D38" t="s">
        <v>31</v>
      </c>
      <c r="E38" t="s">
        <v>32</v>
      </c>
      <c r="F38" s="6"/>
      <c r="H38" s="7"/>
      <c r="I38" s="6" t="s">
        <v>44</v>
      </c>
    </row>
    <row r="39" spans="1:9" x14ac:dyDescent="0.25">
      <c r="A39" s="6" t="s">
        <v>21</v>
      </c>
      <c r="B39" t="s">
        <v>33</v>
      </c>
      <c r="C39" t="s">
        <v>34</v>
      </c>
      <c r="D39" t="s">
        <v>35</v>
      </c>
      <c r="E39" t="s">
        <v>32</v>
      </c>
      <c r="F39" s="6"/>
      <c r="H39" s="7"/>
      <c r="I39" s="6" t="s">
        <v>44</v>
      </c>
    </row>
    <row r="40" spans="1:9" x14ac:dyDescent="0.25">
      <c r="B40" s="6" t="s">
        <v>20</v>
      </c>
    </row>
    <row r="41" spans="1:9" x14ac:dyDescent="0.25">
      <c r="A41" s="6" t="s">
        <v>46</v>
      </c>
      <c r="B41" t="s">
        <v>36</v>
      </c>
      <c r="C41" t="s">
        <v>37</v>
      </c>
      <c r="D41" t="s">
        <v>38</v>
      </c>
      <c r="E41" t="s">
        <v>39</v>
      </c>
      <c r="F41" s="6"/>
      <c r="H41" s="7"/>
      <c r="I41" s="6" t="s">
        <v>44</v>
      </c>
    </row>
    <row r="42" spans="1:9" x14ac:dyDescent="0.25">
      <c r="A42" s="6" t="s">
        <v>21</v>
      </c>
      <c r="B42" t="s">
        <v>40</v>
      </c>
      <c r="C42" t="s">
        <v>37</v>
      </c>
      <c r="D42" t="s">
        <v>41</v>
      </c>
      <c r="E42" t="s">
        <v>42</v>
      </c>
      <c r="F42" s="6"/>
      <c r="I42" s="6" t="s">
        <v>44</v>
      </c>
    </row>
    <row r="43" spans="1:9" x14ac:dyDescent="0.25">
      <c r="B43" s="6"/>
    </row>
    <row r="44" spans="1:9" x14ac:dyDescent="0.25">
      <c r="A44" s="6"/>
    </row>
    <row r="45" spans="1:9" x14ac:dyDescent="0.25">
      <c r="A45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"/>
  <sheetViews>
    <sheetView topLeftCell="G1" workbookViewId="0">
      <selection activeCell="T12" sqref="T12:W12"/>
    </sheetView>
  </sheetViews>
  <sheetFormatPr defaultRowHeight="15" x14ac:dyDescent="0.25"/>
  <cols>
    <col min="1" max="1" width="17.28515625" customWidth="1"/>
    <col min="2" max="2" width="13.7109375" customWidth="1"/>
    <col min="3" max="5" width="12.5703125" customWidth="1"/>
    <col min="6" max="6" width="13.7109375" customWidth="1"/>
    <col min="7" max="9" width="13.5703125" customWidth="1"/>
  </cols>
  <sheetData>
    <row r="1" spans="1:2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</row>
    <row r="2" spans="1:27" x14ac:dyDescent="0.25">
      <c r="A2" t="s">
        <v>1</v>
      </c>
      <c r="B2">
        <v>0.13222399823160397</v>
      </c>
      <c r="C2">
        <v>0.13224778530408168</v>
      </c>
      <c r="D2">
        <v>0.14357354031874303</v>
      </c>
      <c r="E2">
        <v>0.14009351871902118</v>
      </c>
      <c r="F2">
        <v>2.98254169944944E-2</v>
      </c>
      <c r="G2">
        <v>2.9817525831411566E-2</v>
      </c>
      <c r="H2">
        <v>4.1722101316810006E-2</v>
      </c>
      <c r="I2">
        <v>6.6863320708507118E-2</v>
      </c>
      <c r="K2">
        <v>0.21811329775029598</v>
      </c>
      <c r="L2">
        <v>0.16590640262771059</v>
      </c>
      <c r="M2">
        <v>0.15513918223650228</v>
      </c>
      <c r="N2">
        <v>0.1663558697611158</v>
      </c>
      <c r="O2">
        <v>6.2247128160416304E-2</v>
      </c>
      <c r="P2">
        <v>5.8584787847164227E-2</v>
      </c>
      <c r="Q2">
        <v>4.4087173240939893E-2</v>
      </c>
      <c r="R2">
        <v>5.9805414179301068E-2</v>
      </c>
      <c r="T2">
        <v>0.19695345185825941</v>
      </c>
      <c r="U2">
        <v>0.11299605521740065</v>
      </c>
      <c r="V2">
        <v>0.11804374799137417</v>
      </c>
      <c r="W2">
        <v>0.1155899094664785</v>
      </c>
      <c r="X2">
        <v>4.5932540539968925E-2</v>
      </c>
      <c r="Y2">
        <v>2.9316862447486193E-2</v>
      </c>
      <c r="Z2">
        <v>3.30786632955593E-2</v>
      </c>
      <c r="AA2">
        <v>4.103320415512033E-2</v>
      </c>
    </row>
    <row r="3" spans="1:27" x14ac:dyDescent="0.25">
      <c r="A3" t="s">
        <v>2</v>
      </c>
      <c r="B3">
        <v>1.9121745784739681</v>
      </c>
      <c r="C3">
        <v>0.14959188008046959</v>
      </c>
      <c r="D3">
        <v>0.16011596228520042</v>
      </c>
      <c r="E3">
        <v>0.1510264861943835</v>
      </c>
      <c r="F3">
        <v>1.6580651501188715</v>
      </c>
      <c r="G3">
        <v>3.7151276410376764E-2</v>
      </c>
      <c r="H3">
        <v>5.5242897152636555E-2</v>
      </c>
      <c r="I3">
        <v>5.2041286823006655E-2</v>
      </c>
      <c r="K3">
        <v>0.62105371542629006</v>
      </c>
      <c r="L3">
        <v>0.22543419201495452</v>
      </c>
      <c r="M3">
        <v>0.17152312051224544</v>
      </c>
      <c r="N3">
        <v>0.19560954911235945</v>
      </c>
      <c r="O3">
        <v>0.86748845411859221</v>
      </c>
      <c r="P3">
        <v>6.3003798278895143E-2</v>
      </c>
      <c r="Q3">
        <v>4.7592874220308813E-2</v>
      </c>
      <c r="R3">
        <v>6.5358787326003032E-2</v>
      </c>
      <c r="T3">
        <v>1.3910032039304308</v>
      </c>
      <c r="U3">
        <v>0.13674174609199596</v>
      </c>
      <c r="V3">
        <v>0.14067996178420974</v>
      </c>
      <c r="W3">
        <v>0.13423805107823189</v>
      </c>
      <c r="X3">
        <v>2.3368776221087959</v>
      </c>
      <c r="Y3">
        <v>3.7235718793159407E-2</v>
      </c>
      <c r="Z3">
        <v>4.5698815429208638E-2</v>
      </c>
      <c r="AA3">
        <v>5.1190002882417478E-2</v>
      </c>
    </row>
    <row r="4" spans="1:27" x14ac:dyDescent="0.25">
      <c r="A4" t="s">
        <v>3</v>
      </c>
      <c r="B4">
        <v>7.6521117302816588</v>
      </c>
      <c r="C4">
        <v>0.20094118027747576</v>
      </c>
      <c r="D4">
        <v>0.16870848408033154</v>
      </c>
      <c r="E4">
        <v>0.15129717367793971</v>
      </c>
      <c r="F4">
        <v>5.0059810464209633</v>
      </c>
      <c r="G4">
        <v>3.9020153080248546E-2</v>
      </c>
      <c r="H4">
        <v>0.10813521372934977</v>
      </c>
      <c r="I4">
        <v>5.5998174864692433E-2</v>
      </c>
      <c r="K4">
        <v>1.9845348483855536</v>
      </c>
      <c r="L4">
        <v>1.2677989120153841</v>
      </c>
      <c r="M4">
        <v>0.17959370264466704</v>
      </c>
      <c r="N4">
        <v>0.19456008634229011</v>
      </c>
      <c r="O4">
        <v>2.3001509490592498</v>
      </c>
      <c r="P4">
        <v>6.8003947297364128E-2</v>
      </c>
      <c r="Q4">
        <v>4.5599713974310972E-2</v>
      </c>
      <c r="R4">
        <v>6.5426731084219883E-2</v>
      </c>
      <c r="T4">
        <v>5.8302849933994851</v>
      </c>
      <c r="U4">
        <v>0.1899485668239049</v>
      </c>
      <c r="V4">
        <v>0.14219267419449499</v>
      </c>
      <c r="W4">
        <v>0.13449165156478346</v>
      </c>
      <c r="X4">
        <v>5.4930345410345547</v>
      </c>
      <c r="Y4">
        <v>3.8214188026785334E-2</v>
      </c>
      <c r="Z4">
        <v>0.10016180267083939</v>
      </c>
      <c r="AA4">
        <v>7.3316465313770632E-2</v>
      </c>
    </row>
    <row r="5" spans="1:27" x14ac:dyDescent="0.25">
      <c r="A5" t="s">
        <v>4</v>
      </c>
      <c r="B5">
        <v>1.3361270205522164</v>
      </c>
      <c r="C5">
        <v>0.13582737200235956</v>
      </c>
      <c r="D5">
        <v>0.15269668215759116</v>
      </c>
      <c r="E5">
        <v>0.1410301266531287</v>
      </c>
      <c r="F5">
        <v>1.5578596235444018</v>
      </c>
      <c r="G5">
        <v>3.4564321411754896E-2</v>
      </c>
      <c r="H5">
        <v>0.15269971154899287</v>
      </c>
      <c r="I5">
        <v>0.23258140973628294</v>
      </c>
      <c r="K5">
        <v>0.66127167392565189</v>
      </c>
      <c r="L5">
        <v>0.29739725915430915</v>
      </c>
      <c r="M5">
        <v>0.15971820232038569</v>
      </c>
      <c r="N5">
        <v>0.14816685446345643</v>
      </c>
      <c r="O5">
        <v>0.84943541276685153</v>
      </c>
      <c r="P5">
        <v>5.8607964668765028E-2</v>
      </c>
      <c r="Q5">
        <v>0.17937326001625181</v>
      </c>
      <c r="R5">
        <v>0.2159444301374526</v>
      </c>
      <c r="T5">
        <v>1.4165211406918206</v>
      </c>
      <c r="U5">
        <v>0.13367229738357936</v>
      </c>
      <c r="V5">
        <v>0.14050031906962351</v>
      </c>
      <c r="W5">
        <v>0.13198432285512054</v>
      </c>
      <c r="X5">
        <v>2.0720121621408607</v>
      </c>
      <c r="Y5">
        <v>3.6231017458969637E-2</v>
      </c>
      <c r="Z5">
        <v>0.14136880590018852</v>
      </c>
      <c r="AA5">
        <v>0.19660709088985165</v>
      </c>
    </row>
    <row r="6" spans="1:27" x14ac:dyDescent="0.25">
      <c r="A6" t="s">
        <v>5</v>
      </c>
      <c r="B6">
        <v>0.12477700303779646</v>
      </c>
      <c r="C6">
        <v>0.12481578205228475</v>
      </c>
      <c r="D6">
        <v>0.13195941584522755</v>
      </c>
      <c r="E6">
        <v>0.12612201115932281</v>
      </c>
      <c r="F6">
        <v>4.5403423041269535E-2</v>
      </c>
      <c r="G6">
        <v>3.1923144945541222E-2</v>
      </c>
      <c r="H6">
        <v>0.16641995294276649</v>
      </c>
      <c r="I6">
        <v>0.22735022063610322</v>
      </c>
      <c r="K6">
        <v>0.20753514612192345</v>
      </c>
      <c r="L6">
        <v>0.15572832484451188</v>
      </c>
      <c r="M6">
        <v>0.1665386659862968</v>
      </c>
      <c r="N6">
        <v>0.15036062355842406</v>
      </c>
      <c r="O6">
        <v>6.0726141619057178E-2</v>
      </c>
      <c r="P6">
        <v>4.8474523450005198E-2</v>
      </c>
      <c r="Q6">
        <v>0.1574476167449807</v>
      </c>
      <c r="R6">
        <v>0.25186838356342267</v>
      </c>
      <c r="T6">
        <v>0.22385620821032126</v>
      </c>
      <c r="U6">
        <v>0.12914870973815498</v>
      </c>
      <c r="V6">
        <v>0.13644901154321162</v>
      </c>
      <c r="W6">
        <v>0.12970795875824317</v>
      </c>
      <c r="X6">
        <v>6.9869504371231322E-2</v>
      </c>
      <c r="Y6">
        <v>3.0215821907830082E-2</v>
      </c>
      <c r="Z6">
        <v>0.14335379296193326</v>
      </c>
      <c r="AA6">
        <v>0.22373729547513344</v>
      </c>
    </row>
    <row r="8" spans="1:27" x14ac:dyDescent="0.25">
      <c r="B8">
        <f>SQRT(0.25*(B2+F2))</f>
        <v>0.20127680891380553</v>
      </c>
      <c r="C8">
        <f t="shared" ref="C8:E12" si="0">SQRT(0.25*(C2+G2))</f>
        <v>0.20128668059231666</v>
      </c>
      <c r="D8">
        <f t="shared" si="0"/>
        <v>0.21522990128903619</v>
      </c>
      <c r="E8">
        <f t="shared" si="0"/>
        <v>0.2274625460529317</v>
      </c>
      <c r="K8">
        <f t="shared" ref="K8" si="1">SQRT(0.25*(K2+O2))</f>
        <v>0.26474536157915607</v>
      </c>
      <c r="L8">
        <f t="shared" ref="L8" si="2">SQRT(0.25*(L2+P2))</f>
        <v>0.23690250656909206</v>
      </c>
      <c r="M8">
        <f t="shared" ref="M8" si="3">SQRT(0.25*(M2+Q2))</f>
        <v>0.22317389827074433</v>
      </c>
      <c r="N8">
        <f t="shared" ref="N8" si="4">SQRT(0.25*(N2+R2))</f>
        <v>0.23778208718300084</v>
      </c>
      <c r="T8">
        <f t="shared" ref="T8" si="5">SQRT(0.25*(T2+X2))</f>
        <v>0.24641732507994862</v>
      </c>
      <c r="U8">
        <f t="shared" ref="U8" si="6">SQRT(0.25*(U2+Y2))</f>
        <v>0.18862192188667179</v>
      </c>
      <c r="V8">
        <f t="shared" ref="V8" si="7">SQRT(0.25*(V2+Z2))</f>
        <v>0.19437233039127089</v>
      </c>
      <c r="W8">
        <f t="shared" ref="W8" si="8">SQRT(0.25*(W2+AA2))</f>
        <v>0.19787819082809432</v>
      </c>
    </row>
    <row r="9" spans="1:27" x14ac:dyDescent="0.25">
      <c r="B9">
        <f t="shared" ref="B9:B12" si="9">SQRT(0.25*(B3+F3))</f>
        <v>0.94475390030854589</v>
      </c>
      <c r="C9">
        <f t="shared" si="0"/>
        <v>0.21606894529920673</v>
      </c>
      <c r="D9">
        <f t="shared" si="0"/>
        <v>0.23203386575984816</v>
      </c>
      <c r="E9">
        <f t="shared" si="0"/>
        <v>0.22531520866188226</v>
      </c>
      <c r="K9">
        <f t="shared" ref="K9:K12" si="10">SQRT(0.25*(K3+O3))</f>
        <v>0.6100291324078061</v>
      </c>
      <c r="L9">
        <f t="shared" ref="L9:L12" si="11">SQRT(0.25*(L3+P3))</f>
        <v>0.26853211646554015</v>
      </c>
      <c r="M9">
        <f t="shared" ref="M9:M12" si="12">SQRT(0.25*(M3+Q3))</f>
        <v>0.23404913732620028</v>
      </c>
      <c r="N9">
        <f t="shared" ref="N9:N12" si="13">SQRT(0.25*(N3+R3))</f>
        <v>0.25542530044925194</v>
      </c>
      <c r="T9">
        <f t="shared" ref="T9:T12" si="14">SQRT(0.25*(T3+X3))</f>
        <v>0.96538604014653473</v>
      </c>
      <c r="U9">
        <f t="shared" ref="U9:U12" si="15">SQRT(0.25*(U3+Y3))</f>
        <v>0.20855302975811413</v>
      </c>
      <c r="V9">
        <f t="shared" ref="V9:V12" si="16">SQRT(0.25*(V3+Z3))</f>
        <v>0.21585804201686487</v>
      </c>
      <c r="W9">
        <f t="shared" ref="W9:W12" si="17">SQRT(0.25*(W3+AA3))</f>
        <v>0.21530678923378693</v>
      </c>
    </row>
    <row r="10" spans="1:27" x14ac:dyDescent="0.25">
      <c r="B10">
        <f t="shared" si="9"/>
        <v>1.778910676277945</v>
      </c>
      <c r="C10">
        <f t="shared" si="0"/>
        <v>0.24492924149523485</v>
      </c>
      <c r="D10">
        <f t="shared" si="0"/>
        <v>0.26307969220831229</v>
      </c>
      <c r="E10">
        <f t="shared" si="0"/>
        <v>0.22764849469227341</v>
      </c>
      <c r="K10">
        <f t="shared" si="10"/>
        <v>1.0349741298028665</v>
      </c>
      <c r="L10">
        <f t="shared" si="11"/>
        <v>0.57788468990637487</v>
      </c>
      <c r="M10">
        <f t="shared" si="12"/>
        <v>0.23727274212337265</v>
      </c>
      <c r="N10">
        <f t="shared" si="13"/>
        <v>0.25494451230930132</v>
      </c>
      <c r="T10">
        <f t="shared" si="14"/>
        <v>1.682507023345968</v>
      </c>
      <c r="U10">
        <f t="shared" si="15"/>
        <v>0.23883192565625005</v>
      </c>
      <c r="V10">
        <f t="shared" si="16"/>
        <v>0.24614755577972655</v>
      </c>
      <c r="W10">
        <f t="shared" si="17"/>
        <v>0.22792987785641119</v>
      </c>
    </row>
    <row r="11" spans="1:27" x14ac:dyDescent="0.25">
      <c r="B11">
        <f t="shared" si="9"/>
        <v>0.85058606914535961</v>
      </c>
      <c r="C11">
        <f t="shared" si="0"/>
        <v>0.20639264365167817</v>
      </c>
      <c r="D11">
        <f t="shared" si="0"/>
        <v>0.27631340616525646</v>
      </c>
      <c r="E11">
        <f t="shared" si="0"/>
        <v>0.30561885428970659</v>
      </c>
      <c r="K11">
        <f t="shared" si="10"/>
        <v>0.61455412428290301</v>
      </c>
      <c r="L11">
        <f t="shared" si="11"/>
        <v>0.29833086658233765</v>
      </c>
      <c r="M11">
        <f t="shared" si="12"/>
        <v>0.29115780186036466</v>
      </c>
      <c r="N11">
        <f t="shared" si="13"/>
        <v>0.30170817216347862</v>
      </c>
      <c r="T11">
        <f t="shared" si="14"/>
        <v>0.93388078773908301</v>
      </c>
      <c r="U11">
        <f t="shared" si="15"/>
        <v>0.20609664895538027</v>
      </c>
      <c r="V11">
        <f t="shared" si="16"/>
        <v>0.26545674081185622</v>
      </c>
      <c r="W11">
        <f t="shared" si="17"/>
        <v>0.2866144682953794</v>
      </c>
    </row>
    <row r="12" spans="1:27" x14ac:dyDescent="0.25">
      <c r="B12">
        <f t="shared" si="9"/>
        <v>0.20626465164871682</v>
      </c>
      <c r="C12">
        <f t="shared" si="0"/>
        <v>0.19795133682159485</v>
      </c>
      <c r="D12">
        <f t="shared" si="0"/>
        <v>0.27312056348250036</v>
      </c>
      <c r="E12">
        <f t="shared" si="0"/>
        <v>0.29726765372111463</v>
      </c>
      <c r="K12">
        <f t="shared" si="10"/>
        <v>0.25896973169705595</v>
      </c>
      <c r="L12">
        <f t="shared" si="11"/>
        <v>0.2259440463336648</v>
      </c>
      <c r="M12">
        <f t="shared" si="12"/>
        <v>0.28459896465521334</v>
      </c>
      <c r="N12">
        <f t="shared" si="13"/>
        <v>0.31710763437744871</v>
      </c>
      <c r="T12">
        <f t="shared" si="14"/>
        <v>0.27098233917616871</v>
      </c>
      <c r="U12">
        <f t="shared" si="15"/>
        <v>0.19960243713816792</v>
      </c>
      <c r="V12">
        <f t="shared" si="16"/>
        <v>0.26448194858304835</v>
      </c>
      <c r="W12">
        <f t="shared" si="17"/>
        <v>0.29725630953496035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Standard Deviations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 Chun Wu</cp:lastModifiedBy>
  <dcterms:created xsi:type="dcterms:W3CDTF">2026-02-21T05:15:11Z</dcterms:created>
  <dcterms:modified xsi:type="dcterms:W3CDTF">2026-02-24T17:36:06Z</dcterms:modified>
</cp:coreProperties>
</file>
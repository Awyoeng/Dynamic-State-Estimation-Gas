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SC Chan\PECON\PECON_Feb24\PECON\PECON\code\le_ekf&amp;chen_ekf&amp;normal_ekfcode\csv_results\small\Summary\"/>
    </mc:Choice>
  </mc:AlternateContent>
  <xr:revisionPtr revIDLastSave="0" documentId="13_ncr:1_{B9DA7314-3640-41CC-9F00-4BE40A941D6B}" xr6:coauthVersionLast="47" xr6:coauthVersionMax="47" xr10:uidLastSave="{00000000-0000-0000-0000-000000000000}"/>
  <bookViews>
    <workbookView xWindow="2700" yWindow="4215" windowWidth="21600" windowHeight="11385" activeTab="1" xr2:uid="{00000000-000D-0000-FFFF-FFFF00000000}"/>
  </bookViews>
  <sheets>
    <sheet name="Averages" sheetId="1" r:id="rId1"/>
    <sheet name="Standard Devi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7" i="2"/>
  <c r="D7" i="2"/>
  <c r="E7" i="2"/>
  <c r="B8" i="2"/>
  <c r="C8" i="2"/>
  <c r="D8" i="2"/>
  <c r="E8" i="2"/>
  <c r="C6" i="2"/>
  <c r="D6" i="2"/>
  <c r="E6" i="2"/>
  <c r="B6" i="2"/>
  <c r="C6" i="1"/>
  <c r="D6" i="1"/>
  <c r="E6" i="1"/>
  <c r="C7" i="1"/>
  <c r="D7" i="1"/>
  <c r="E7" i="1"/>
  <c r="C8" i="1"/>
  <c r="D8" i="1"/>
  <c r="E8" i="1"/>
  <c r="B7" i="1"/>
  <c r="B8" i="1"/>
  <c r="B6" i="1"/>
</calcChain>
</file>

<file path=xl/sharedStrings.xml><?xml version="1.0" encoding="utf-8"?>
<sst xmlns="http://schemas.openxmlformats.org/spreadsheetml/2006/main" count="27" uniqueCount="15">
  <si>
    <t>Row</t>
  </si>
  <si>
    <t>Case1_Clean</t>
  </si>
  <si>
    <t>Case2_20dB</t>
  </si>
  <si>
    <t>Case3_Outlier_Leak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</si>
  <si>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</si>
  <si>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</si>
  <si>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</si>
  <si>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</si>
  <si>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</si>
  <si>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</si>
  <si>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</si>
  <si>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</si>
  <si>
    <t>Case 1_Clean</t>
  </si>
  <si>
    <t>Case 2_Outlier</t>
  </si>
  <si>
    <t>Case 3_Outlier+Leak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</si>
</sst>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E15" sqref="E15"/>
    </sheetView>
  </sheetViews>
  <sheetFormatPr defaultRowHeight="15" x14ac:dyDescent="0.25"/>
  <cols>
    <col min="1" max="1" width="18.5703125" customWidth="1"/>
    <col min="2" max="2" width="15" customWidth="1"/>
    <col min="3" max="3" width="11.7109375" customWidth="1"/>
    <col min="4" max="4" width="13.140625" customWidth="1"/>
    <col min="5" max="5" width="12.5703125" customWidth="1"/>
    <col min="6" max="6" width="15" customWidth="1"/>
    <col min="7" max="7" width="12.7109375" customWidth="1"/>
    <col min="8" max="8" width="13.140625" customWidth="1"/>
    <col min="9" max="9" width="12.7109375" customWidth="1"/>
  </cols>
  <sheetData>
    <row r="1" spans="1: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 t="s">
        <v>1</v>
      </c>
      <c r="B2">
        <v>1.5635101337359694</v>
      </c>
      <c r="C2">
        <v>1.5636034774363303</v>
      </c>
      <c r="D2">
        <v>1.5639474251656544</v>
      </c>
      <c r="E2">
        <v>1.5571714301110449</v>
      </c>
      <c r="F2">
        <v>0.79258168997226619</v>
      </c>
      <c r="G2">
        <v>0.79269340428849189</v>
      </c>
      <c r="H2">
        <v>0.78927077209680685</v>
      </c>
      <c r="I2">
        <v>0.7873476920547654</v>
      </c>
    </row>
    <row r="3" spans="1:9" x14ac:dyDescent="0.25">
      <c r="A3" t="s">
        <v>2</v>
      </c>
      <c r="B3">
        <v>51.970072064034461</v>
      </c>
      <c r="C3">
        <v>4.697146049690553</v>
      </c>
      <c r="D3">
        <v>3.7755494872695037</v>
      </c>
      <c r="E3">
        <v>1.5572072958022281</v>
      </c>
      <c r="F3">
        <v>4.2797916863610226</v>
      </c>
      <c r="G3">
        <v>0.80235856778271064</v>
      </c>
      <c r="H3">
        <v>1.4299397383589374</v>
      </c>
      <c r="I3">
        <v>0.78706644612797161</v>
      </c>
    </row>
    <row r="4" spans="1:9" x14ac:dyDescent="0.25">
      <c r="A4" t="s">
        <v>3</v>
      </c>
      <c r="B4">
        <v>52.216387340859335</v>
      </c>
      <c r="C4">
        <v>4.7870719721084596</v>
      </c>
      <c r="D4">
        <v>3.8949572958721954</v>
      </c>
      <c r="E4">
        <v>1.4434881375022495</v>
      </c>
      <c r="F4">
        <v>4.0642408737320181</v>
      </c>
      <c r="G4">
        <v>3.9362131706338843</v>
      </c>
      <c r="H4">
        <v>1.4049964083919924</v>
      </c>
      <c r="I4">
        <v>1.1178654628228588</v>
      </c>
    </row>
    <row r="6" spans="1:9" x14ac:dyDescent="0.25">
      <c r="A6" t="s">
        <v>12</v>
      </c>
      <c r="B6">
        <f>0.5*(B2+F2)/2</f>
        <v>0.58902295592705889</v>
      </c>
      <c r="C6">
        <f t="shared" ref="C6:E8" si="0">0.5*(C2+G2)/2</f>
        <v>0.58907422043120561</v>
      </c>
      <c r="D6">
        <f t="shared" si="0"/>
        <v>0.58830454931561538</v>
      </c>
      <c r="E6">
        <f t="shared" si="0"/>
        <v>0.58612978054145259</v>
      </c>
    </row>
    <row r="7" spans="1:9" x14ac:dyDescent="0.25">
      <c r="A7" t="s">
        <v>13</v>
      </c>
      <c r="B7">
        <f t="shared" ref="B7:B8" si="1">0.5*(B3+F3)/2</f>
        <v>14.062465937598871</v>
      </c>
      <c r="C7">
        <f t="shared" si="0"/>
        <v>1.3748761543683159</v>
      </c>
      <c r="D7">
        <f t="shared" si="0"/>
        <v>1.3013723064071103</v>
      </c>
      <c r="E7">
        <f t="shared" si="0"/>
        <v>0.58606843548254994</v>
      </c>
    </row>
    <row r="8" spans="1:9" x14ac:dyDescent="0.25">
      <c r="A8" t="s">
        <v>14</v>
      </c>
      <c r="B8">
        <f t="shared" si="1"/>
        <v>14.070157053647838</v>
      </c>
      <c r="C8">
        <f t="shared" si="0"/>
        <v>2.1808212856855862</v>
      </c>
      <c r="D8">
        <f t="shared" si="0"/>
        <v>1.3249884260660469</v>
      </c>
      <c r="E8">
        <f t="shared" si="0"/>
        <v>0.64033840008127707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B6" sqref="B6:E8"/>
    </sheetView>
  </sheetViews>
  <sheetFormatPr defaultRowHeight="15" x14ac:dyDescent="0.25"/>
  <cols>
    <col min="1" max="1" width="18.5703125" customWidth="1"/>
    <col min="2" max="2" width="15" customWidth="1"/>
    <col min="3" max="3" width="12.7109375" customWidth="1"/>
    <col min="4" max="4" width="13.140625" customWidth="1"/>
    <col min="5" max="5" width="12.7109375" customWidth="1"/>
    <col min="6" max="6" width="15" customWidth="1"/>
    <col min="7" max="9" width="13.7109375" customWidth="1"/>
  </cols>
  <sheetData>
    <row r="1" spans="1: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 t="s">
        <v>1</v>
      </c>
      <c r="B2">
        <v>0.20971693780463579</v>
      </c>
      <c r="C2">
        <v>0.20973935559280896</v>
      </c>
      <c r="D2">
        <v>0.2104817734408955</v>
      </c>
      <c r="E2">
        <v>0.2072105646434925</v>
      </c>
      <c r="F2">
        <v>6.3695412394907253E-2</v>
      </c>
      <c r="G2">
        <v>6.3825352190893719E-2</v>
      </c>
      <c r="H2">
        <v>6.2857841405393147E-2</v>
      </c>
      <c r="I2">
        <v>6.2698966307413367E-2</v>
      </c>
    </row>
    <row r="3" spans="1:9" x14ac:dyDescent="0.25">
      <c r="A3" t="s">
        <v>2</v>
      </c>
      <c r="B3">
        <v>1.7223153512398415</v>
      </c>
      <c r="C3">
        <v>0.61856810057278278</v>
      </c>
      <c r="D3">
        <v>1.2185198403054496</v>
      </c>
      <c r="E3">
        <v>0.23809081913776201</v>
      </c>
      <c r="F3">
        <v>2.2182069335337604</v>
      </c>
      <c r="G3">
        <v>7.0917812989855583E-2</v>
      </c>
      <c r="H3">
        <v>0.53616007605889149</v>
      </c>
      <c r="I3">
        <v>6.8286700499045144E-2</v>
      </c>
    </row>
    <row r="4" spans="1:9" x14ac:dyDescent="0.25">
      <c r="A4" t="s">
        <v>3</v>
      </c>
      <c r="B4">
        <v>2.1483105115460845</v>
      </c>
      <c r="C4">
        <v>0.67761171913195883</v>
      </c>
      <c r="D4">
        <v>1.4169913546636534</v>
      </c>
      <c r="E4">
        <v>0.19826127994664758</v>
      </c>
      <c r="F4">
        <v>2.233254871062802</v>
      </c>
      <c r="G4">
        <v>9.8036832858507006E-2</v>
      </c>
      <c r="H4">
        <v>0.4423499663318648</v>
      </c>
      <c r="I4">
        <v>0.27926738532424278</v>
      </c>
    </row>
    <row r="6" spans="1:9" x14ac:dyDescent="0.25">
      <c r="B6">
        <f>SQRT(0.25*B2+0.25*F2)</f>
        <v>0.26144423411099688</v>
      </c>
      <c r="C6">
        <f t="shared" ref="C6:E6" si="0">SQRT(0.25*C2+0.25*G2)</f>
        <v>0.26151706817323733</v>
      </c>
      <c r="D6">
        <f t="shared" si="0"/>
        <v>0.26140945604849908</v>
      </c>
      <c r="E6">
        <f t="shared" si="0"/>
        <v>0.25976409054703165</v>
      </c>
    </row>
    <row r="7" spans="1:9" x14ac:dyDescent="0.25">
      <c r="B7">
        <f t="shared" ref="B7:B8" si="1">SQRT(0.25*B3+0.25*F3)</f>
        <v>0.9925374407010551</v>
      </c>
      <c r="C7">
        <f t="shared" ref="C7:C8" si="2">SQRT(0.25*C3+0.25*G3)</f>
        <v>0.41517644248037433</v>
      </c>
      <c r="D7">
        <f t="shared" ref="D7:D8" si="3">SQRT(0.25*D3+0.25*H3)</f>
        <v>0.66232165832855361</v>
      </c>
      <c r="E7">
        <f t="shared" ref="E7:E8" si="4">SQRT(0.25*E3+0.25*I3)</f>
        <v>0.27675689676899073</v>
      </c>
    </row>
    <row r="8" spans="1:9" x14ac:dyDescent="0.25">
      <c r="B8">
        <f t="shared" si="1"/>
        <v>1.0466094523040683</v>
      </c>
      <c r="C8">
        <f t="shared" si="2"/>
        <v>0.44035455941504281</v>
      </c>
      <c r="D8">
        <f t="shared" si="3"/>
        <v>0.68178833243821324</v>
      </c>
      <c r="E8">
        <f t="shared" si="4"/>
        <v>0.34551724460252714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Chun Wu</cp:lastModifiedBy>
  <dcterms:modified xsi:type="dcterms:W3CDTF">2026-02-24T16:12:58Z</dcterms:modified>
</cp:coreProperties>
</file>